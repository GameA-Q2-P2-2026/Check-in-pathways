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book" sheetId="1" state="visible" r:id="rId3"/>
    <sheet name="Class summary" sheetId="2" state="visible" r:id="rId4"/>
    <sheet name="Writing converter" sheetId="3" state="visible" r:id="rId5"/>
    <sheet name="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<sst xmlns="http://schemas.openxmlformats.org/spreadsheetml/2006/main" count="91" uniqueCount="67">
  <si>
    <t xml:space="preserve">Game Design gradebook</t>
  </si>
  <si>
    <t xml:space="preserve">Type scores only in the yellow cells (blue numbers). Grey columns calculate themselves. Row 6 is an example student: delete or overwrite it. Maximums are in row 4 and come from the Key sheet.</t>
  </si>
  <si>
    <t xml:space="preserve">Unity Essentials</t>
  </si>
  <si>
    <t xml:space="preserve">Weekly check-ins</t>
  </si>
  <si>
    <t xml:space="preserve">Path work</t>
  </si>
  <si>
    <t xml:space="preserve">Group project</t>
  </si>
  <si>
    <t xml:space="preserve">Reflection and showcase</t>
  </si>
  <si>
    <t xml:space="preserve">Totals</t>
  </si>
  <si>
    <t xml:space="preserve">Maximum</t>
  </si>
  <si>
    <t xml:space="preserve">Student</t>
  </si>
  <si>
    <t xml:space="preserve">Path</t>
  </si>
  <si>
    <t xml:space="preserve">Completion</t>
  </si>
  <si>
    <t xml:space="preserve">Checkpoint scene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</si>
  <si>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</si>
  <si>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</si>
  <si>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</si>
  <si>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</si>
  <si>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</si>
  <si>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Team product</t>
  </si>
  <si>
    <t xml:space="preserve">Individual</t>
  </si>
  <si>
    <t xml:space="preserve">Teamwork</t>
  </si>
  <si>
    <t xml:space="preserve">Reflection</t>
  </si>
  <si>
    <t xml:space="preserve">Showcase</t>
  </si>
  <si>
    <t xml:space="preserve">Essentials</t>
  </si>
  <si>
    <t xml:space="preserve">Check-ins</t>
  </si>
  <si>
    <t xml:space="preserve">Group</t>
  </si>
  <si>
    <t xml:space="preserve">Reflect + show</t>
  </si>
  <si>
    <t xml:space="preserve">Total</t>
  </si>
  <si>
    <t xml:space="preserve">Letter</t>
  </si>
  <si>
    <t xml:space="preserve">Example Student (delete me)</t>
  </si>
  <si>
    <t xml:space="preserve">Design</t>
  </si>
  <si>
    <t xml:space="preserve">Class summary</t>
  </si>
  <si>
    <t xml:space="preserve">Calculated from the Gradebook sheet. Delete the example student first, or it is counted here.</t>
  </si>
  <si>
    <t xml:space="preserve">Students graded</t>
  </si>
  <si>
    <t xml:space="preserve">Class average (points out of 100)</t>
  </si>
  <si>
    <t xml:space="preserve">Letter grades</t>
  </si>
  <si>
    <t xml:space="preserve">A</t>
  </si>
  <si>
    <t xml:space="preserve">B</t>
  </si>
  <si>
    <t xml:space="preserve">C</t>
  </si>
  <si>
    <t xml:space="preserve">D</t>
  </si>
  <si>
    <t xml:space="preserve">F</t>
  </si>
  <si>
    <t xml:space="preserve">Average total by path</t>
  </si>
  <si>
    <t xml:space="preserve">Programming</t>
  </si>
  <si>
    <t xml:space="preserve">Development / Management</t>
  </si>
  <si>
    <t xml:space="preserve">Game Writing</t>
  </si>
  <si>
    <t xml:space="preserve">Average by category (percent of that category's points)</t>
  </si>
  <si>
    <t xml:space="preserve">Game Writing: rubric points to weekly path-work score</t>
  </si>
  <si>
    <t xml:space="preserve">Each Game Writing deliverable is scored on a 16-point rubric. The weekly path-work score is rubric points x 6 / 16, rounded to the nearest half point.</t>
  </si>
  <si>
    <t xml:space="preserve">Rubric points (0 to 16)</t>
  </si>
  <si>
    <t xml:space="preserve">Weekly score (0 to 6)</t>
  </si>
  <si>
    <t xml:space="preserve">Rubric maximum</t>
  </si>
  <si>
    <t xml:space="preserve">Weekly maximum</t>
  </si>
  <si>
    <t xml:space="preserve">Game Design scoring key</t>
  </si>
  <si>
    <t xml:space="preserve">Source: Game Design Grading and Scoring Guide (this course kit). Change the numbers below to change the whole gradebook.</t>
  </si>
  <si>
    <t xml:space="preserve">Category</t>
  </si>
  <si>
    <t xml:space="preserve">Points</t>
  </si>
  <si>
    <t xml:space="preserve">Letter grade cutoffs (percent)</t>
  </si>
  <si>
    <t xml:space="preserve">Below the D cutoff is an F.</t>
  </si>
  <si>
    <t xml:space="preserve">Maximum score for each gradebook column</t>
  </si>
  <si>
    <t xml:space="preserve">Essentials completion</t>
  </si>
  <si>
    <t xml:space="preserve">Essentials checkpoint scene</t>
  </si>
  <si>
    <t xml:space="preserve">Weekly check-in (each of 5)</t>
  </si>
  <si>
    <t xml:space="preserve">Path work week (each of 5)</t>
  </si>
  <si>
    <t xml:space="preserve">Individual contribution</t>
  </si>
  <si>
    <t xml:space="preserve">Written reflection</t>
  </si>
  <si>
    <t xml:space="preserve">Showcase demo</t>
  </si>
  <si>
    <t xml:space="preserve">Blue numbers on a yellow fill are settings you can change. Everything else is calculated.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</si>
</sst>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4D8"/>
        <bgColor rgb="FFFBE3E1"/>
      </patternFill>
    </fill>
    <fill>
      <patternFill patternType="solid">
        <fgColor rgb="FFFFFBE0"/>
        <bgColor rgb="FFFFF1C9"/>
      </patternFill>
    </fill>
    <fill>
      <patternFill patternType="solid">
        <fgColor rgb="FFEEF0F7"/>
        <bgColor rgb="FFE1F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DEBD3"/>
        </patternFill>
      </fill>
    </dxf>
    <dxf>
      <fill>
        <patternFill>
          <bgColor rgb="FFE1F3E6"/>
        </patternFill>
      </fill>
    </dxf>
    <dxf>
      <fill>
        <patternFill>
          <bgColor rgb="FFFFF1C9"/>
        </patternFill>
      </fill>
    </dxf>
    <dxf>
      <fill>
        <patternFill>
          <bgColor rgb="FFFBE3CF"/>
        </patternFill>
      </fill>
    </dxf>
    <dxf>
      <fill>
        <patternFill>
          <bgColor rgb="FFFBE3E1"/>
        </patternFill>
      </fill>
    </dxf>
  </dxfs>
  <colors>
    <indexedColors>
      <rgbColor rgb="FF000000"/>
      <rgbColor rgb="FFEEF0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0"/>
      <rgbColor rgb="FFE1F3E6"/>
      <rgbColor rgb="FF660066"/>
      <rgbColor rgb="FFFF8080"/>
      <rgbColor rgb="FF0066CC"/>
      <rgbColor rgb="FFE8E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3E1"/>
      <rgbColor rgb="FFCDEBD3"/>
      <rgbColor rgb="FFFFF1C9"/>
      <rgbColor rgb="FF99CCFF"/>
      <rgbColor rgb="FFFF99CC"/>
      <rgbColor rgb="FFCC99FF"/>
      <rgbColor rgb="FFFBE3CF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19" min="3" style="0" width="10"/>
    <col collapsed="false" customWidth="true" hidden="false" outlineLevel="0" max="26" min="2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 t="s">
        <v>4</v>
      </c>
      <c r="K3" s="3"/>
      <c r="L3" s="3"/>
      <c r="M3" s="3"/>
      <c r="N3" s="3"/>
      <c r="O3" s="3" t="s">
        <v>5</v>
      </c>
      <c r="P3" s="3"/>
      <c r="Q3" s="3"/>
      <c r="R3" s="3" t="s">
        <v>6</v>
      </c>
      <c r="S3" s="3"/>
      <c r="T3" s="3" t="s">
        <v>7</v>
      </c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8</v>
      </c>
      <c r="C4" s="5" t="n">
        <f aca="false">Key!$B$20</f>
        <v>6</v>
      </c>
      <c r="D4" s="5" t="n">
        <f aca="false">Key!$B$21</f>
        <v>4</v>
      </c>
      <c r="E4" s="5" t="n">
        <f aca="false">Key!$B$22</f>
        <v>4</v>
      </c>
      <c r="F4" s="5" t="n">
        <f aca="false">Key!$B$22</f>
        <v>4</v>
      </c>
      <c r="G4" s="5" t="n">
        <f aca="false">Key!$B$22</f>
        <v>4</v>
      </c>
      <c r="H4" s="5" t="n">
        <f aca="false">Key!$B$22</f>
        <v>4</v>
      </c>
      <c r="I4" s="5" t="n">
        <f aca="false">Key!$B$22</f>
        <v>4</v>
      </c>
      <c r="J4" s="5" t="n">
        <f aca="false">Key!$B$23</f>
        <v>6</v>
      </c>
      <c r="K4" s="5" t="n">
        <f aca="false">Key!$B$23</f>
        <v>6</v>
      </c>
      <c r="L4" s="5" t="n">
        <f aca="false">Key!$B$23</f>
        <v>6</v>
      </c>
      <c r="M4" s="5" t="n">
        <f aca="false">Key!$B$23</f>
        <v>6</v>
      </c>
      <c r="N4" s="5" t="n">
        <f aca="false">Key!$B$23</f>
        <v>6</v>
      </c>
      <c r="O4" s="5" t="n">
        <f aca="false">Key!$B$24</f>
        <v>12</v>
      </c>
      <c r="P4" s="5" t="n">
        <f aca="false">Key!$B$25</f>
        <v>12</v>
      </c>
      <c r="Q4" s="5" t="n">
        <f aca="false">Key!$B$26</f>
        <v>6</v>
      </c>
      <c r="R4" s="5" t="n">
        <f aca="false">Key!$B$27</f>
        <v>5</v>
      </c>
      <c r="S4" s="5" t="n">
        <f aca="false">Key!$B$28</f>
        <v>5</v>
      </c>
      <c r="T4" s="5" t="n">
        <f aca="false">Key!$B$5</f>
        <v>10</v>
      </c>
      <c r="U4" s="5" t="n">
        <f aca="false">Key!$B$6</f>
        <v>20</v>
      </c>
      <c r="V4" s="5" t="n">
        <f aca="false">Key!$B$7</f>
        <v>30</v>
      </c>
      <c r="W4" s="5" t="n">
        <f aca="false">Key!$B$8</f>
        <v>30</v>
      </c>
      <c r="X4" s="5" t="n">
        <f aca="false">Key!$B$9</f>
        <v>10</v>
      </c>
      <c r="Y4" s="5" t="n">
        <f aca="false">Key!$B$10</f>
        <v>100</v>
      </c>
    </row>
    <row r="5" customFormat="false" ht="30" hidden="false" customHeight="true" outlineLevel="0" collapsed="false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4</v>
      </c>
      <c r="W5" s="6" t="s">
        <v>25</v>
      </c>
      <c r="X5" s="6" t="s">
        <v>26</v>
      </c>
      <c r="Y5" s="6" t="s">
        <v>27</v>
      </c>
      <c r="Z5" s="6" t="s">
        <v>28</v>
      </c>
    </row>
    <row r="6" customFormat="false" ht="15" hidden="false" customHeight="false" outlineLevel="0" collapsed="false">
      <c r="A6" s="7" t="s">
        <v>29</v>
      </c>
      <c r="B6" s="7" t="s">
        <v>30</v>
      </c>
      <c r="C6" s="8" t="n">
        <v>6</v>
      </c>
      <c r="D6" s="8" t="n">
        <v>3</v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2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8" t="n">
        <v>10</v>
      </c>
      <c r="P6" s="8" t="n">
        <v>10</v>
      </c>
      <c r="Q6" s="8" t="n">
        <v>5</v>
      </c>
      <c r="R6" s="8" t="n">
        <v>4</v>
      </c>
      <c r="S6" s="8" t="n">
        <v>5</v>
      </c>
      <c r="T6" s="9" t="n">
        <f aca="false">IF($A6="","",SUM(C6:D6))</f>
        <v>9</v>
      </c>
      <c r="U6" s="9" t="n">
        <f aca="false">IF($A6="","",SUM(E6:I6))</f>
        <v>18</v>
      </c>
      <c r="V6" s="9" t="n">
        <f aca="false">IF($A6="","",SUM(J6:N6))</f>
        <v>25</v>
      </c>
      <c r="W6" s="9" t="n">
        <f aca="false">IF($A6="","",SUM(O6:Q6))</f>
        <v>25</v>
      </c>
      <c r="X6" s="9" t="n">
        <f aca="false">IF($A6="","",SUM(R6:S6))</f>
        <v>9</v>
      </c>
      <c r="Y6" s="10" t="n">
        <f aca="false">IF($A6="","",SUM(T6:X6))</f>
        <v>86</v>
      </c>
      <c r="Z6" s="11" t="str">
        <f aca="false">IF($A6="","",IF(Y6&gt;=Key!$B$13,"A",IF(Y6&gt;=Key!$B$14,"B",IF(Y6&gt;=Key!$B$15,"C",IF(Y6&gt;=Key!$B$16,"D","F")))))</f>
        <v>B</v>
      </c>
    </row>
    <row r="7" customFormat="false" ht="15" hidden="false" customHeight="false" outlineLevel="0" collapsed="false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 t="str">
        <f aca="false">IF($A7="","",SUM(C7:D7))</f>
        <v/>
      </c>
      <c r="U7" s="9" t="str">
        <f aca="false">IF($A7="","",SUM(E7:I7))</f>
        <v/>
      </c>
      <c r="V7" s="9" t="str">
        <f aca="false">IF($A7="","",SUM(J7:N7))</f>
        <v/>
      </c>
      <c r="W7" s="9" t="str">
        <f aca="false">IF($A7="","",SUM(O7:Q7))</f>
        <v/>
      </c>
      <c r="X7" s="9" t="str">
        <f aca="false">IF($A7="","",SUM(R7:S7))</f>
        <v/>
      </c>
      <c r="Y7" s="10" t="str">
        <f aca="false">IF($A7="","",SUM(T7:X7))</f>
        <v/>
      </c>
      <c r="Z7" s="11" t="str">
        <f aca="false">IF($A7="","",IF(Y7&gt;=Key!$B$13,"A",IF(Y7&gt;=Key!$B$14,"B",IF(Y7&gt;=Key!$B$15,"C",IF(Y7&gt;=Key!$B$16,"D","F")))))</f>
        <v/>
      </c>
    </row>
    <row r="8" customFormat="false" ht="15" hidden="false" customHeight="false" outlineLevel="0" collapsed="false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 t="str">
        <f aca="false">IF($A8="","",SUM(C8:D8))</f>
        <v/>
      </c>
      <c r="U8" s="9" t="str">
        <f aca="false">IF($A8="","",SUM(E8:I8))</f>
        <v/>
      </c>
      <c r="V8" s="9" t="str">
        <f aca="false">IF($A8="","",SUM(J8:N8))</f>
        <v/>
      </c>
      <c r="W8" s="9" t="str">
        <f aca="false">IF($A8="","",SUM(O8:Q8))</f>
        <v/>
      </c>
      <c r="X8" s="9" t="str">
        <f aca="false">IF($A8="","",SUM(R8:S8))</f>
        <v/>
      </c>
      <c r="Y8" s="10" t="str">
        <f aca="false">IF($A8="","",SUM(T8:X8))</f>
        <v/>
      </c>
      <c r="Z8" s="11" t="str">
        <f aca="false">IF($A8="","",IF(Y8&gt;=Key!$B$13,"A",IF(Y8&gt;=Key!$B$14,"B",IF(Y8&gt;=Key!$B$15,"C",IF(Y8&gt;=Key!$B$16,"D","F")))))</f>
        <v/>
      </c>
    </row>
    <row r="9" customFormat="false" ht="15" hidden="false" customHeight="false" outlineLevel="0" collapsed="false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 t="str">
        <f aca="false">IF($A9="","",SUM(C9:D9))</f>
        <v/>
      </c>
      <c r="U9" s="9" t="str">
        <f aca="false">IF($A9="","",SUM(E9:I9))</f>
        <v/>
      </c>
      <c r="V9" s="9" t="str">
        <f aca="false">IF($A9="","",SUM(J9:N9))</f>
        <v/>
      </c>
      <c r="W9" s="9" t="str">
        <f aca="false">IF($A9="","",SUM(O9:Q9))</f>
        <v/>
      </c>
      <c r="X9" s="9" t="str">
        <f aca="false">IF($A9="","",SUM(R9:S9))</f>
        <v/>
      </c>
      <c r="Y9" s="10" t="str">
        <f aca="false">IF($A9="","",SUM(T9:X9))</f>
        <v/>
      </c>
      <c r="Z9" s="11" t="str">
        <f aca="false">IF($A9="","",IF(Y9&gt;=Key!$B$13,"A",IF(Y9&gt;=Key!$B$14,"B",IF(Y9&gt;=Key!$B$15,"C",IF(Y9&gt;=Key!$B$16,"D","F")))))</f>
        <v/>
      </c>
    </row>
    <row r="10" customFormat="false" ht="15" hidden="false" customHeight="false" outlineLevel="0" collapsed="false">
      <c r="A10" s="7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 t="str">
        <f aca="false">IF($A10="","",SUM(C10:D10))</f>
        <v/>
      </c>
      <c r="U10" s="9" t="str">
        <f aca="false">IF($A10="","",SUM(E10:I10))</f>
        <v/>
      </c>
      <c r="V10" s="9" t="str">
        <f aca="false">IF($A10="","",SUM(J10:N10))</f>
        <v/>
      </c>
      <c r="W10" s="9" t="str">
        <f aca="false">IF($A10="","",SUM(O10:Q10))</f>
        <v/>
      </c>
      <c r="X10" s="9" t="str">
        <f aca="false">IF($A10="","",SUM(R10:S10))</f>
        <v/>
      </c>
      <c r="Y10" s="10" t="str">
        <f aca="false">IF($A10="","",SUM(T10:X10))</f>
        <v/>
      </c>
      <c r="Z10" s="11" t="str">
        <f aca="false">IF($A10="","",IF(Y10&gt;=Key!$B$13,"A",IF(Y10&gt;=Key!$B$14,"B",IF(Y10&gt;=Key!$B$15,"C",IF(Y10&gt;=Key!$B$16,"D","F")))))</f>
        <v/>
      </c>
    </row>
    <row r="11" customFormat="false" ht="15" hidden="false" customHeight="false" outlineLevel="0" collapsed="false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 t="str">
        <f aca="false">IF($A11="","",SUM(C11:D11))</f>
        <v/>
      </c>
      <c r="U11" s="9" t="str">
        <f aca="false">IF($A11="","",SUM(E11:I11))</f>
        <v/>
      </c>
      <c r="V11" s="9" t="str">
        <f aca="false">IF($A11="","",SUM(J11:N11))</f>
        <v/>
      </c>
      <c r="W11" s="9" t="str">
        <f aca="false">IF($A11="","",SUM(O11:Q11))</f>
        <v/>
      </c>
      <c r="X11" s="9" t="str">
        <f aca="false">IF($A11="","",SUM(R11:S11))</f>
        <v/>
      </c>
      <c r="Y11" s="10" t="str">
        <f aca="false">IF($A11="","",SUM(T11:X11))</f>
        <v/>
      </c>
      <c r="Z11" s="11" t="str">
        <f aca="false">IF($A11="","",IF(Y11&gt;=Key!$B$13,"A",IF(Y11&gt;=Key!$B$14,"B",IF(Y11&gt;=Key!$B$15,"C",IF(Y11&gt;=Key!$B$16,"D","F")))))</f>
        <v/>
      </c>
    </row>
    <row r="12" customFormat="false" ht="15" hidden="false" customHeight="false" outlineLevel="0" collapsed="false">
      <c r="A12" s="7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 t="str">
        <f aca="false">IF($A12="","",SUM(C12:D12))</f>
        <v/>
      </c>
      <c r="U12" s="9" t="str">
        <f aca="false">IF($A12="","",SUM(E12:I12))</f>
        <v/>
      </c>
      <c r="V12" s="9" t="str">
        <f aca="false">IF($A12="","",SUM(J12:N12))</f>
        <v/>
      </c>
      <c r="W12" s="9" t="str">
        <f aca="false">IF($A12="","",SUM(O12:Q12))</f>
        <v/>
      </c>
      <c r="X12" s="9" t="str">
        <f aca="false">IF($A12="","",SUM(R12:S12))</f>
        <v/>
      </c>
      <c r="Y12" s="10" t="str">
        <f aca="false">IF($A12="","",SUM(T12:X12))</f>
        <v/>
      </c>
      <c r="Z12" s="11" t="str">
        <f aca="false">IF($A12="","",IF(Y12&gt;=Key!$B$13,"A",IF(Y12&gt;=Key!$B$14,"B",IF(Y12&gt;=Key!$B$15,"C",IF(Y12&gt;=Key!$B$16,"D","F")))))</f>
        <v/>
      </c>
    </row>
    <row r="13" customFormat="false" ht="15" hidden="false" customHeight="false" outlineLevel="0" collapsed="false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 t="str">
        <f aca="false">IF($A13="","",SUM(C13:D13))</f>
        <v/>
      </c>
      <c r="U13" s="9" t="str">
        <f aca="false">IF($A13="","",SUM(E13:I13))</f>
        <v/>
      </c>
      <c r="V13" s="9" t="str">
        <f aca="false">IF($A13="","",SUM(J13:N13))</f>
        <v/>
      </c>
      <c r="W13" s="9" t="str">
        <f aca="false">IF($A13="","",SUM(O13:Q13))</f>
        <v/>
      </c>
      <c r="X13" s="9" t="str">
        <f aca="false">IF($A13="","",SUM(R13:S13))</f>
        <v/>
      </c>
      <c r="Y13" s="10" t="str">
        <f aca="false">IF($A13="","",SUM(T13:X13))</f>
        <v/>
      </c>
      <c r="Z13" s="11" t="str">
        <f aca="false">IF($A13="","",IF(Y13&gt;=Key!$B$13,"A",IF(Y13&gt;=Key!$B$14,"B",IF(Y13&gt;=Key!$B$15,"C",IF(Y13&gt;=Key!$B$16,"D","F")))))</f>
        <v/>
      </c>
    </row>
    <row r="14" customFormat="false" ht="15" hidden="false" customHeight="false" outlineLevel="0" collapsed="false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 t="str">
        <f aca="false">IF($A14="","",SUM(C14:D14))</f>
        <v/>
      </c>
      <c r="U14" s="9" t="str">
        <f aca="false">IF($A14="","",SUM(E14:I14))</f>
        <v/>
      </c>
      <c r="V14" s="9" t="str">
        <f aca="false">IF($A14="","",SUM(J14:N14))</f>
        <v/>
      </c>
      <c r="W14" s="9" t="str">
        <f aca="false">IF($A14="","",SUM(O14:Q14))</f>
        <v/>
      </c>
      <c r="X14" s="9" t="str">
        <f aca="false">IF($A14="","",SUM(R14:S14))</f>
        <v/>
      </c>
      <c r="Y14" s="10" t="str">
        <f aca="false">IF($A14="","",SUM(T14:X14))</f>
        <v/>
      </c>
      <c r="Z14" s="11" t="str">
        <f aca="false">IF($A14="","",IF(Y14&gt;=Key!$B$13,"A",IF(Y14&gt;=Key!$B$14,"B",IF(Y14&gt;=Key!$B$15,"C",IF(Y14&gt;=Key!$B$16,"D","F")))))</f>
        <v/>
      </c>
    </row>
    <row r="15" customFormat="false" ht="15" hidden="false" customHeight="false" outlineLevel="0" collapsed="false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 t="str">
        <f aca="false">IF($A15="","",SUM(C15:D15))</f>
        <v/>
      </c>
      <c r="U15" s="9" t="str">
        <f aca="false">IF($A15="","",SUM(E15:I15))</f>
        <v/>
      </c>
      <c r="V15" s="9" t="str">
        <f aca="false">IF($A15="","",SUM(J15:N15))</f>
        <v/>
      </c>
      <c r="W15" s="9" t="str">
        <f aca="false">IF($A15="","",SUM(O15:Q15))</f>
        <v/>
      </c>
      <c r="X15" s="9" t="str">
        <f aca="false">IF($A15="","",SUM(R15:S15))</f>
        <v/>
      </c>
      <c r="Y15" s="10" t="str">
        <f aca="false">IF($A15="","",SUM(T15:X15))</f>
        <v/>
      </c>
      <c r="Z15" s="11" t="str">
        <f aca="false">IF($A15="","",IF(Y15&gt;=Key!$B$13,"A",IF(Y15&gt;=Key!$B$14,"B",IF(Y15&gt;=Key!$B$15,"C",IF(Y15&gt;=Key!$B$16,"D","F")))))</f>
        <v/>
      </c>
    </row>
    <row r="16" customFormat="false" ht="15" hidden="false" customHeight="false" outlineLevel="0" collapsed="false">
      <c r="A16" s="7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 t="str">
        <f aca="false">IF($A16="","",SUM(C16:D16))</f>
        <v/>
      </c>
      <c r="U16" s="9" t="str">
        <f aca="false">IF($A16="","",SUM(E16:I16))</f>
        <v/>
      </c>
      <c r="V16" s="9" t="str">
        <f aca="false">IF($A16="","",SUM(J16:N16))</f>
        <v/>
      </c>
      <c r="W16" s="9" t="str">
        <f aca="false">IF($A16="","",SUM(O16:Q16))</f>
        <v/>
      </c>
      <c r="X16" s="9" t="str">
        <f aca="false">IF($A16="","",SUM(R16:S16))</f>
        <v/>
      </c>
      <c r="Y16" s="10" t="str">
        <f aca="false">IF($A16="","",SUM(T16:X16))</f>
        <v/>
      </c>
      <c r="Z16" s="11" t="str">
        <f aca="false">IF($A16="","",IF(Y16&gt;=Key!$B$13,"A",IF(Y16&gt;=Key!$B$14,"B",IF(Y16&gt;=Key!$B$15,"C",IF(Y16&gt;=Key!$B$16,"D","F")))))</f>
        <v/>
      </c>
    </row>
    <row r="17" customFormat="false" ht="15" hidden="false" customHeight="false" outlineLevel="0" collapsed="false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 t="str">
        <f aca="false">IF($A17="","",SUM(C17:D17))</f>
        <v/>
      </c>
      <c r="U17" s="9" t="str">
        <f aca="false">IF($A17="","",SUM(E17:I17))</f>
        <v/>
      </c>
      <c r="V17" s="9" t="str">
        <f aca="false">IF($A17="","",SUM(J17:N17))</f>
        <v/>
      </c>
      <c r="W17" s="9" t="str">
        <f aca="false">IF($A17="","",SUM(O17:Q17))</f>
        <v/>
      </c>
      <c r="X17" s="9" t="str">
        <f aca="false">IF($A17="","",SUM(R17:S17))</f>
        <v/>
      </c>
      <c r="Y17" s="10" t="str">
        <f aca="false">IF($A17="","",SUM(T17:X17))</f>
        <v/>
      </c>
      <c r="Z17" s="11" t="str">
        <f aca="false">IF($A17="","",IF(Y17&gt;=Key!$B$13,"A",IF(Y17&gt;=Key!$B$14,"B",IF(Y17&gt;=Key!$B$15,"C",IF(Y17&gt;=Key!$B$16,"D","F")))))</f>
        <v/>
      </c>
    </row>
    <row r="18" customFormat="false" ht="15" hidden="false" customHeight="false" outlineLevel="0" collapsed="false">
      <c r="A18" s="7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 t="str">
        <f aca="false">IF($A18="","",SUM(C18:D18))</f>
        <v/>
      </c>
      <c r="U18" s="9" t="str">
        <f aca="false">IF($A18="","",SUM(E18:I18))</f>
        <v/>
      </c>
      <c r="V18" s="9" t="str">
        <f aca="false">IF($A18="","",SUM(J18:N18))</f>
        <v/>
      </c>
      <c r="W18" s="9" t="str">
        <f aca="false">IF($A18="","",SUM(O18:Q18))</f>
        <v/>
      </c>
      <c r="X18" s="9" t="str">
        <f aca="false">IF($A18="","",SUM(R18:S18))</f>
        <v/>
      </c>
      <c r="Y18" s="10" t="str">
        <f aca="false">IF($A18="","",SUM(T18:X18))</f>
        <v/>
      </c>
      <c r="Z18" s="11" t="str">
        <f aca="false">IF($A18="","",IF(Y18&gt;=Key!$B$13,"A",IF(Y18&gt;=Key!$B$14,"B",IF(Y18&gt;=Key!$B$15,"C",IF(Y18&gt;=Key!$B$16,"D","F")))))</f>
        <v/>
      </c>
    </row>
    <row r="19" customFormat="false" ht="15" hidden="false" customHeight="false" outlineLevel="0" collapsed="false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 t="str">
        <f aca="false">IF($A19="","",SUM(C19:D19))</f>
        <v/>
      </c>
      <c r="U19" s="9" t="str">
        <f aca="false">IF($A19="","",SUM(E19:I19))</f>
        <v/>
      </c>
      <c r="V19" s="9" t="str">
        <f aca="false">IF($A19="","",SUM(J19:N19))</f>
        <v/>
      </c>
      <c r="W19" s="9" t="str">
        <f aca="false">IF($A19="","",SUM(O19:Q19))</f>
        <v/>
      </c>
      <c r="X19" s="9" t="str">
        <f aca="false">IF($A19="","",SUM(R19:S19))</f>
        <v/>
      </c>
      <c r="Y19" s="10" t="str">
        <f aca="false">IF($A19="","",SUM(T19:X19))</f>
        <v/>
      </c>
      <c r="Z19" s="11" t="str">
        <f aca="false">IF($A19="","",IF(Y19&gt;=Key!$B$13,"A",IF(Y19&gt;=Key!$B$14,"B",IF(Y19&gt;=Key!$B$15,"C",IF(Y19&gt;=Key!$B$16,"D","F")))))</f>
        <v/>
      </c>
    </row>
    <row r="20" customFormat="false" ht="15" hidden="false" customHeight="false" outlineLevel="0" collapsed="false">
      <c r="A20" s="7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 t="str">
        <f aca="false">IF($A20="","",SUM(C20:D20))</f>
        <v/>
      </c>
      <c r="U20" s="9" t="str">
        <f aca="false">IF($A20="","",SUM(E20:I20))</f>
        <v/>
      </c>
      <c r="V20" s="9" t="str">
        <f aca="false">IF($A20="","",SUM(J20:N20))</f>
        <v/>
      </c>
      <c r="W20" s="9" t="str">
        <f aca="false">IF($A20="","",SUM(O20:Q20))</f>
        <v/>
      </c>
      <c r="X20" s="9" t="str">
        <f aca="false">IF($A20="","",SUM(R20:S20))</f>
        <v/>
      </c>
      <c r="Y20" s="10" t="str">
        <f aca="false">IF($A20="","",SUM(T20:X20))</f>
        <v/>
      </c>
      <c r="Z20" s="11" t="str">
        <f aca="false">IF($A20="","",IF(Y20&gt;=Key!$B$13,"A",IF(Y20&gt;=Key!$B$14,"B",IF(Y20&gt;=Key!$B$15,"C",IF(Y20&gt;=Key!$B$16,"D","F")))))</f>
        <v/>
      </c>
    </row>
    <row r="21" customFormat="false" ht="15" hidden="false" customHeight="false" outlineLevel="0" collapsed="false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 t="str">
        <f aca="false">IF($A21="","",SUM(C21:D21))</f>
        <v/>
      </c>
      <c r="U21" s="9" t="str">
        <f aca="false">IF($A21="","",SUM(E21:I21))</f>
        <v/>
      </c>
      <c r="V21" s="9" t="str">
        <f aca="false">IF($A21="","",SUM(J21:N21))</f>
        <v/>
      </c>
      <c r="W21" s="9" t="str">
        <f aca="false">IF($A21="","",SUM(O21:Q21))</f>
        <v/>
      </c>
      <c r="X21" s="9" t="str">
        <f aca="false">IF($A21="","",SUM(R21:S21))</f>
        <v/>
      </c>
      <c r="Y21" s="10" t="str">
        <f aca="false">IF($A21="","",SUM(T21:X21))</f>
        <v/>
      </c>
      <c r="Z21" s="11" t="str">
        <f aca="false">IF($A21="","",IF(Y21&gt;=Key!$B$13,"A",IF(Y21&gt;=Key!$B$14,"B",IF(Y21&gt;=Key!$B$15,"C",IF(Y21&gt;=Key!$B$16,"D","F")))))</f>
        <v/>
      </c>
    </row>
    <row r="22" customFormat="false" ht="15" hidden="false" customHeight="false" outlineLevel="0" collapsed="false">
      <c r="A22" s="7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 t="str">
        <f aca="false">IF($A22="","",SUM(C22:D22))</f>
        <v/>
      </c>
      <c r="U22" s="9" t="str">
        <f aca="false">IF($A22="","",SUM(E22:I22))</f>
        <v/>
      </c>
      <c r="V22" s="9" t="str">
        <f aca="false">IF($A22="","",SUM(J22:N22))</f>
        <v/>
      </c>
      <c r="W22" s="9" t="str">
        <f aca="false">IF($A22="","",SUM(O22:Q22))</f>
        <v/>
      </c>
      <c r="X22" s="9" t="str">
        <f aca="false">IF($A22="","",SUM(R22:S22))</f>
        <v/>
      </c>
      <c r="Y22" s="10" t="str">
        <f aca="false">IF($A22="","",SUM(T22:X22))</f>
        <v/>
      </c>
      <c r="Z22" s="11" t="str">
        <f aca="false">IF($A22="","",IF(Y22&gt;=Key!$B$13,"A",IF(Y22&gt;=Key!$B$14,"B",IF(Y22&gt;=Key!$B$15,"C",IF(Y22&gt;=Key!$B$16,"D","F")))))</f>
        <v/>
      </c>
    </row>
    <row r="23" customFormat="false" ht="15" hidden="false" customHeight="false" outlineLevel="0" collapsed="false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 t="str">
        <f aca="false">IF($A23="","",SUM(C23:D23))</f>
        <v/>
      </c>
      <c r="U23" s="9" t="str">
        <f aca="false">IF($A23="","",SUM(E23:I23))</f>
        <v/>
      </c>
      <c r="V23" s="9" t="str">
        <f aca="false">IF($A23="","",SUM(J23:N23))</f>
        <v/>
      </c>
      <c r="W23" s="9" t="str">
        <f aca="false">IF($A23="","",SUM(O23:Q23))</f>
        <v/>
      </c>
      <c r="X23" s="9" t="str">
        <f aca="false">IF($A23="","",SUM(R23:S23))</f>
        <v/>
      </c>
      <c r="Y23" s="10" t="str">
        <f aca="false">IF($A23="","",SUM(T23:X23))</f>
        <v/>
      </c>
      <c r="Z23" s="11" t="str">
        <f aca="false">IF($A23="","",IF(Y23&gt;=Key!$B$13,"A",IF(Y23&gt;=Key!$B$14,"B",IF(Y23&gt;=Key!$B$15,"C",IF(Y23&gt;=Key!$B$16,"D","F")))))</f>
        <v/>
      </c>
    </row>
    <row r="24" customFormat="false" ht="15" hidden="false" customHeight="false" outlineLevel="0" collapsed="false">
      <c r="A24" s="7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 t="str">
        <f aca="false">IF($A24="","",SUM(C24:D24))</f>
        <v/>
      </c>
      <c r="U24" s="9" t="str">
        <f aca="false">IF($A24="","",SUM(E24:I24))</f>
        <v/>
      </c>
      <c r="V24" s="9" t="str">
        <f aca="false">IF($A24="","",SUM(J24:N24))</f>
        <v/>
      </c>
      <c r="W24" s="9" t="str">
        <f aca="false">IF($A24="","",SUM(O24:Q24))</f>
        <v/>
      </c>
      <c r="X24" s="9" t="str">
        <f aca="false">IF($A24="","",SUM(R24:S24))</f>
        <v/>
      </c>
      <c r="Y24" s="10" t="str">
        <f aca="false">IF($A24="","",SUM(T24:X24))</f>
        <v/>
      </c>
      <c r="Z24" s="11" t="str">
        <f aca="false">IF($A24="","",IF(Y24&gt;=Key!$B$13,"A",IF(Y24&gt;=Key!$B$14,"B",IF(Y24&gt;=Key!$B$15,"C",IF(Y24&gt;=Key!$B$16,"D","F")))))</f>
        <v/>
      </c>
    </row>
    <row r="25" customFormat="false" ht="15" hidden="false" customHeight="false" outlineLevel="0" collapsed="false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 t="str">
        <f aca="false">IF($A25="","",SUM(C25:D25))</f>
        <v/>
      </c>
      <c r="U25" s="9" t="str">
        <f aca="false">IF($A25="","",SUM(E25:I25))</f>
        <v/>
      </c>
      <c r="V25" s="9" t="str">
        <f aca="false">IF($A25="","",SUM(J25:N25))</f>
        <v/>
      </c>
      <c r="W25" s="9" t="str">
        <f aca="false">IF($A25="","",SUM(O25:Q25))</f>
        <v/>
      </c>
      <c r="X25" s="9" t="str">
        <f aca="false">IF($A25="","",SUM(R25:S25))</f>
        <v/>
      </c>
      <c r="Y25" s="10" t="str">
        <f aca="false">IF($A25="","",SUM(T25:X25))</f>
        <v/>
      </c>
      <c r="Z25" s="11" t="str">
        <f aca="false">IF($A25="","",IF(Y25&gt;=Key!$B$13,"A",IF(Y25&gt;=Key!$B$14,"B",IF(Y25&gt;=Key!$B$15,"C",IF(Y25&gt;=Key!$B$16,"D","F")))))</f>
        <v/>
      </c>
    </row>
    <row r="26" customFormat="false" ht="15" hidden="false" customHeight="false" outlineLevel="0" collapsed="false">
      <c r="A26" s="7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 t="str">
        <f aca="false">IF($A26="","",SUM(C26:D26))</f>
        <v/>
      </c>
      <c r="U26" s="9" t="str">
        <f aca="false">IF($A26="","",SUM(E26:I26))</f>
        <v/>
      </c>
      <c r="V26" s="9" t="str">
        <f aca="false">IF($A26="","",SUM(J26:N26))</f>
        <v/>
      </c>
      <c r="W26" s="9" t="str">
        <f aca="false">IF($A26="","",SUM(O26:Q26))</f>
        <v/>
      </c>
      <c r="X26" s="9" t="str">
        <f aca="false">IF($A26="","",SUM(R26:S26))</f>
        <v/>
      </c>
      <c r="Y26" s="10" t="str">
        <f aca="false">IF($A26="","",SUM(T26:X26))</f>
        <v/>
      </c>
      <c r="Z26" s="11" t="str">
        <f aca="false">IF($A26="","",IF(Y26&gt;=Key!$B$13,"A",IF(Y26&gt;=Key!$B$14,"B",IF(Y26&gt;=Key!$B$15,"C",IF(Y26&gt;=Key!$B$16,"D","F")))))</f>
        <v/>
      </c>
    </row>
    <row r="27" customFormat="false" ht="15" hidden="false" customHeight="false" outlineLevel="0" collapsed="false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 t="str">
        <f aca="false">IF($A27="","",SUM(C27:D27))</f>
        <v/>
      </c>
      <c r="U27" s="9" t="str">
        <f aca="false">IF($A27="","",SUM(E27:I27))</f>
        <v/>
      </c>
      <c r="V27" s="9" t="str">
        <f aca="false">IF($A27="","",SUM(J27:N27))</f>
        <v/>
      </c>
      <c r="W27" s="9" t="str">
        <f aca="false">IF($A27="","",SUM(O27:Q27))</f>
        <v/>
      </c>
      <c r="X27" s="9" t="str">
        <f aca="false">IF($A27="","",SUM(R27:S27))</f>
        <v/>
      </c>
      <c r="Y27" s="10" t="str">
        <f aca="false">IF($A27="","",SUM(T27:X27))</f>
        <v/>
      </c>
      <c r="Z27" s="11" t="str">
        <f aca="false">IF($A27="","",IF(Y27&gt;=Key!$B$13,"A",IF(Y27&gt;=Key!$B$14,"B",IF(Y27&gt;=Key!$B$15,"C",IF(Y27&gt;=Key!$B$16,"D","F")))))</f>
        <v/>
      </c>
    </row>
    <row r="28" customFormat="false" ht="15" hidden="false" customHeight="false" outlineLevel="0" collapsed="false">
      <c r="A28" s="7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 t="str">
        <f aca="false">IF($A28="","",SUM(C28:D28))</f>
        <v/>
      </c>
      <c r="U28" s="9" t="str">
        <f aca="false">IF($A28="","",SUM(E28:I28))</f>
        <v/>
      </c>
      <c r="V28" s="9" t="str">
        <f aca="false">IF($A28="","",SUM(J28:N28))</f>
        <v/>
      </c>
      <c r="W28" s="9" t="str">
        <f aca="false">IF($A28="","",SUM(O28:Q28))</f>
        <v/>
      </c>
      <c r="X28" s="9" t="str">
        <f aca="false">IF($A28="","",SUM(R28:S28))</f>
        <v/>
      </c>
      <c r="Y28" s="10" t="str">
        <f aca="false">IF($A28="","",SUM(T28:X28))</f>
        <v/>
      </c>
      <c r="Z28" s="11" t="str">
        <f aca="false">IF($A28="","",IF(Y28&gt;=Key!$B$13,"A",IF(Y28&gt;=Key!$B$14,"B",IF(Y28&gt;=Key!$B$15,"C",IF(Y28&gt;=Key!$B$16,"D","F")))))</f>
        <v/>
      </c>
    </row>
    <row r="29" customFormat="false" ht="15" hidden="false" customHeight="false" outlineLevel="0" collapsed="false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 t="str">
        <f aca="false">IF($A29="","",SUM(C29:D29))</f>
        <v/>
      </c>
      <c r="U29" s="9" t="str">
        <f aca="false">IF($A29="","",SUM(E29:I29))</f>
        <v/>
      </c>
      <c r="V29" s="9" t="str">
        <f aca="false">IF($A29="","",SUM(J29:N29))</f>
        <v/>
      </c>
      <c r="W29" s="9" t="str">
        <f aca="false">IF($A29="","",SUM(O29:Q29))</f>
        <v/>
      </c>
      <c r="X29" s="9" t="str">
        <f aca="false">IF($A29="","",SUM(R29:S29))</f>
        <v/>
      </c>
      <c r="Y29" s="10" t="str">
        <f aca="false">IF($A29="","",SUM(T29:X29))</f>
        <v/>
      </c>
      <c r="Z29" s="11" t="str">
        <f aca="false">IF($A29="","",IF(Y29&gt;=Key!$B$13,"A",IF(Y29&gt;=Key!$B$14,"B",IF(Y29&gt;=Key!$B$15,"C",IF(Y29&gt;=Key!$B$16,"D","F")))))</f>
        <v/>
      </c>
    </row>
    <row r="30" customFormat="false" ht="15" hidden="false" customHeight="false" outlineLevel="0" collapsed="false">
      <c r="A30" s="7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 t="str">
        <f aca="false">IF($A30="","",SUM(C30:D30))</f>
        <v/>
      </c>
      <c r="U30" s="9" t="str">
        <f aca="false">IF($A30="","",SUM(E30:I30))</f>
        <v/>
      </c>
      <c r="V30" s="9" t="str">
        <f aca="false">IF($A30="","",SUM(J30:N30))</f>
        <v/>
      </c>
      <c r="W30" s="9" t="str">
        <f aca="false">IF($A30="","",SUM(O30:Q30))</f>
        <v/>
      </c>
      <c r="X30" s="9" t="str">
        <f aca="false">IF($A30="","",SUM(R30:S30))</f>
        <v/>
      </c>
      <c r="Y30" s="10" t="str">
        <f aca="false">IF($A30="","",SUM(T30:X30))</f>
        <v/>
      </c>
      <c r="Z30" s="11" t="str">
        <f aca="false">IF($A30="","",IF(Y30&gt;=Key!$B$13,"A",IF(Y30&gt;=Key!$B$14,"B",IF(Y30&gt;=Key!$B$15,"C",IF(Y30&gt;=Key!$B$16,"D","F")))))</f>
        <v/>
      </c>
    </row>
    <row r="31" customFormat="false" ht="15" hidden="false" customHeight="false" outlineLevel="0" collapsed="false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 t="str">
        <f aca="false">IF($A31="","",SUM(C31:D31))</f>
        <v/>
      </c>
      <c r="U31" s="9" t="str">
        <f aca="false">IF($A31="","",SUM(E31:I31))</f>
        <v/>
      </c>
      <c r="V31" s="9" t="str">
        <f aca="false">IF($A31="","",SUM(J31:N31))</f>
        <v/>
      </c>
      <c r="W31" s="9" t="str">
        <f aca="false">IF($A31="","",SUM(O31:Q31))</f>
        <v/>
      </c>
      <c r="X31" s="9" t="str">
        <f aca="false">IF($A31="","",SUM(R31:S31))</f>
        <v/>
      </c>
      <c r="Y31" s="10" t="str">
        <f aca="false">IF($A31="","",SUM(T31:X31))</f>
        <v/>
      </c>
      <c r="Z31" s="11" t="str">
        <f aca="false">IF($A31="","",IF(Y31&gt;=Key!$B$13,"A",IF(Y31&gt;=Key!$B$14,"B",IF(Y31&gt;=Key!$B$15,"C",IF(Y31&gt;=Key!$B$16,"D","F")))))</f>
        <v/>
      </c>
    </row>
    <row r="32" customFormat="false" ht="15" hidden="false" customHeight="false" outlineLevel="0" collapsed="false">
      <c r="A32" s="7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 t="str">
        <f aca="false">IF($A32="","",SUM(C32:D32))</f>
        <v/>
      </c>
      <c r="U32" s="9" t="str">
        <f aca="false">IF($A32="","",SUM(E32:I32))</f>
        <v/>
      </c>
      <c r="V32" s="9" t="str">
        <f aca="false">IF($A32="","",SUM(J32:N32))</f>
        <v/>
      </c>
      <c r="W32" s="9" t="str">
        <f aca="false">IF($A32="","",SUM(O32:Q32))</f>
        <v/>
      </c>
      <c r="X32" s="9" t="str">
        <f aca="false">IF($A32="","",SUM(R32:S32))</f>
        <v/>
      </c>
      <c r="Y32" s="10" t="str">
        <f aca="false">IF($A32="","",SUM(T32:X32))</f>
        <v/>
      </c>
      <c r="Z32" s="11" t="str">
        <f aca="false">IF($A32="","",IF(Y32&gt;=Key!$B$13,"A",IF(Y32&gt;=Key!$B$14,"B",IF(Y32&gt;=Key!$B$15,"C",IF(Y32&gt;=Key!$B$16,"D","F")))))</f>
        <v/>
      </c>
    </row>
    <row r="33" customFormat="false" ht="15" hidden="false" customHeight="false" outlineLevel="0" collapsed="false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 t="str">
        <f aca="false">IF($A33="","",SUM(C33:D33))</f>
        <v/>
      </c>
      <c r="U33" s="9" t="str">
        <f aca="false">IF($A33="","",SUM(E33:I33))</f>
        <v/>
      </c>
      <c r="V33" s="9" t="str">
        <f aca="false">IF($A33="","",SUM(J33:N33))</f>
        <v/>
      </c>
      <c r="W33" s="9" t="str">
        <f aca="false">IF($A33="","",SUM(O33:Q33))</f>
        <v/>
      </c>
      <c r="X33" s="9" t="str">
        <f aca="false">IF($A33="","",SUM(R33:S33))</f>
        <v/>
      </c>
      <c r="Y33" s="10" t="str">
        <f aca="false">IF($A33="","",SUM(T33:X33))</f>
        <v/>
      </c>
      <c r="Z33" s="11" t="str">
        <f aca="false">IF($A33="","",IF(Y33&gt;=Key!$B$13,"A",IF(Y33&gt;=Key!$B$14,"B",IF(Y33&gt;=Key!$B$15,"C",IF(Y33&gt;=Key!$B$16,"D","F")))))</f>
        <v/>
      </c>
    </row>
    <row r="34" customFormat="false" ht="15" hidden="false" customHeight="false" outlineLevel="0" collapsed="false">
      <c r="A34" s="7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 t="str">
        <f aca="false">IF($A34="","",SUM(C34:D34))</f>
        <v/>
      </c>
      <c r="U34" s="9" t="str">
        <f aca="false">IF($A34="","",SUM(E34:I34))</f>
        <v/>
      </c>
      <c r="V34" s="9" t="str">
        <f aca="false">IF($A34="","",SUM(J34:N34))</f>
        <v/>
      </c>
      <c r="W34" s="9" t="str">
        <f aca="false">IF($A34="","",SUM(O34:Q34))</f>
        <v/>
      </c>
      <c r="X34" s="9" t="str">
        <f aca="false">IF($A34="","",SUM(R34:S34))</f>
        <v/>
      </c>
      <c r="Y34" s="10" t="str">
        <f aca="false">IF($A34="","",SUM(T34:X34))</f>
        <v/>
      </c>
      <c r="Z34" s="11" t="str">
        <f aca="false">IF($A34="","",IF(Y34&gt;=Key!$B$13,"A",IF(Y34&gt;=Key!$B$14,"B",IF(Y34&gt;=Key!$B$15,"C",IF(Y34&gt;=Key!$B$16,"D","F")))))</f>
        <v/>
      </c>
    </row>
    <row r="35" customFormat="false" ht="15" hidden="false" customHeight="false" outlineLevel="0" collapsed="false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 t="str">
        <f aca="false">IF($A35="","",SUM(C35:D35))</f>
        <v/>
      </c>
      <c r="U35" s="9" t="str">
        <f aca="false">IF($A35="","",SUM(E35:I35))</f>
        <v/>
      </c>
      <c r="V35" s="9" t="str">
        <f aca="false">IF($A35="","",SUM(J35:N35))</f>
        <v/>
      </c>
      <c r="W35" s="9" t="str">
        <f aca="false">IF($A35="","",SUM(O35:Q35))</f>
        <v/>
      </c>
      <c r="X35" s="9" t="str">
        <f aca="false">IF($A35="","",SUM(R35:S35))</f>
        <v/>
      </c>
      <c r="Y35" s="10" t="str">
        <f aca="false">IF($A35="","",SUM(T35:X35))</f>
        <v/>
      </c>
      <c r="Z35" s="11" t="str">
        <f aca="false">IF($A35="","",IF(Y35&gt;=Key!$B$13,"A",IF(Y35&gt;=Key!$B$14,"B",IF(Y35&gt;=Key!$B$15,"C",IF(Y35&gt;=Key!$B$16,"D","F")))))</f>
        <v/>
      </c>
    </row>
    <row r="36" customFormat="false" ht="15" hidden="false" customHeight="false" outlineLevel="0" collapsed="false">
      <c r="A36" s="7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9" t="str">
        <f aca="false">IF($A36="","",SUM(C36:D36))</f>
        <v/>
      </c>
      <c r="U36" s="9" t="str">
        <f aca="false">IF($A36="","",SUM(E36:I36))</f>
        <v/>
      </c>
      <c r="V36" s="9" t="str">
        <f aca="false">IF($A36="","",SUM(J36:N36))</f>
        <v/>
      </c>
      <c r="W36" s="9" t="str">
        <f aca="false">IF($A36="","",SUM(O36:Q36))</f>
        <v/>
      </c>
      <c r="X36" s="9" t="str">
        <f aca="false">IF($A36="","",SUM(R36:S36))</f>
        <v/>
      </c>
      <c r="Y36" s="10" t="str">
        <f aca="false">IF($A36="","",SUM(T36:X36))</f>
        <v/>
      </c>
      <c r="Z36" s="11" t="str">
        <f aca="false">IF($A36="","",IF(Y36&gt;=Key!$B$13,"A",IF(Y36&gt;=Key!$B$14,"B",IF(Y36&gt;=Key!$B$15,"C",IF(Y36&gt;=Key!$B$16,"D","F")))))</f>
        <v/>
      </c>
    </row>
    <row r="37" customFormat="false" ht="15" hidden="false" customHeight="false" outlineLevel="0" collapsed="false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 t="str">
        <f aca="false">IF($A37="","",SUM(C37:D37))</f>
        <v/>
      </c>
      <c r="U37" s="9" t="str">
        <f aca="false">IF($A37="","",SUM(E37:I37))</f>
        <v/>
      </c>
      <c r="V37" s="9" t="str">
        <f aca="false">IF($A37="","",SUM(J37:N37))</f>
        <v/>
      </c>
      <c r="W37" s="9" t="str">
        <f aca="false">IF($A37="","",SUM(O37:Q37))</f>
        <v/>
      </c>
      <c r="X37" s="9" t="str">
        <f aca="false">IF($A37="","",SUM(R37:S37))</f>
        <v/>
      </c>
      <c r="Y37" s="10" t="str">
        <f aca="false">IF($A37="","",SUM(T37:X37))</f>
        <v/>
      </c>
      <c r="Z37" s="11" t="str">
        <f aca="false">IF($A37="","",IF(Y37&gt;=Key!$B$13,"A",IF(Y37&gt;=Key!$B$14,"B",IF(Y37&gt;=Key!$B$15,"C",IF(Y37&gt;=Key!$B$16,"D","F")))))</f>
        <v/>
      </c>
    </row>
    <row r="38" customFormat="false" ht="15" hidden="false" customHeight="false" outlineLevel="0" collapsed="false">
      <c r="A38" s="7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 t="str">
        <f aca="false">IF($A38="","",SUM(C38:D38))</f>
        <v/>
      </c>
      <c r="U38" s="9" t="str">
        <f aca="false">IF($A38="","",SUM(E38:I38))</f>
        <v/>
      </c>
      <c r="V38" s="9" t="str">
        <f aca="false">IF($A38="","",SUM(J38:N38))</f>
        <v/>
      </c>
      <c r="W38" s="9" t="str">
        <f aca="false">IF($A38="","",SUM(O38:Q38))</f>
        <v/>
      </c>
      <c r="X38" s="9" t="str">
        <f aca="false">IF($A38="","",SUM(R38:S38))</f>
        <v/>
      </c>
      <c r="Y38" s="10" t="str">
        <f aca="false">IF($A38="","",SUM(T38:X38))</f>
        <v/>
      </c>
      <c r="Z38" s="11" t="str">
        <f aca="false">IF($A38="","",IF(Y38&gt;=Key!$B$13,"A",IF(Y38&gt;=Key!$B$14,"B",IF(Y38&gt;=Key!$B$15,"C",IF(Y38&gt;=Key!$B$16,"D","F")))))</f>
        <v/>
      </c>
    </row>
    <row r="39" customFormat="false" ht="15" hidden="false" customHeight="false" outlineLevel="0" collapsed="false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 t="str">
        <f aca="false">IF($A39="","",SUM(C39:D39))</f>
        <v/>
      </c>
      <c r="U39" s="9" t="str">
        <f aca="false">IF($A39="","",SUM(E39:I39))</f>
        <v/>
      </c>
      <c r="V39" s="9" t="str">
        <f aca="false">IF($A39="","",SUM(J39:N39))</f>
        <v/>
      </c>
      <c r="W39" s="9" t="str">
        <f aca="false">IF($A39="","",SUM(O39:Q39))</f>
        <v/>
      </c>
      <c r="X39" s="9" t="str">
        <f aca="false">IF($A39="","",SUM(R39:S39))</f>
        <v/>
      </c>
      <c r="Y39" s="10" t="str">
        <f aca="false">IF($A39="","",SUM(T39:X39))</f>
        <v/>
      </c>
      <c r="Z39" s="11" t="str">
        <f aca="false">IF($A39="","",IF(Y39&gt;=Key!$B$13,"A",IF(Y39&gt;=Key!$B$14,"B",IF(Y39&gt;=Key!$B$15,"C",IF(Y39&gt;=Key!$B$16,"D","F")))))</f>
        <v/>
      </c>
    </row>
    <row r="40" customFormat="false" ht="15" hidden="false" customHeight="false" outlineLevel="0" collapsed="false">
      <c r="A40" s="7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 t="str">
        <f aca="false">IF($A40="","",SUM(C40:D40))</f>
        <v/>
      </c>
      <c r="U40" s="9" t="str">
        <f aca="false">IF($A40="","",SUM(E40:I40))</f>
        <v/>
      </c>
      <c r="V40" s="9" t="str">
        <f aca="false">IF($A40="","",SUM(J40:N40))</f>
        <v/>
      </c>
      <c r="W40" s="9" t="str">
        <f aca="false">IF($A40="","",SUM(O40:Q40))</f>
        <v/>
      </c>
      <c r="X40" s="9" t="str">
        <f aca="false">IF($A40="","",SUM(R40:S40))</f>
        <v/>
      </c>
      <c r="Y40" s="10" t="str">
        <f aca="false">IF($A40="","",SUM(T40:X40))</f>
        <v/>
      </c>
      <c r="Z40" s="11" t="str">
        <f aca="false">IF($A40="","",IF(Y40&gt;=Key!$B$13,"A",IF(Y40&gt;=Key!$B$14,"B",IF(Y40&gt;=Key!$B$15,"C",IF(Y40&gt;=Key!$B$16,"D","F")))))</f>
        <v/>
      </c>
    </row>
    <row r="41" customFormat="false" ht="15" hidden="false" customHeight="false" outlineLevel="0" collapsed="false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 t="str">
        <f aca="false">IF($A41="","",SUM(C41:D41))</f>
        <v/>
      </c>
      <c r="U41" s="9" t="str">
        <f aca="false">IF($A41="","",SUM(E41:I41))</f>
        <v/>
      </c>
      <c r="V41" s="9" t="str">
        <f aca="false">IF($A41="","",SUM(J41:N41))</f>
        <v/>
      </c>
      <c r="W41" s="9" t="str">
        <f aca="false">IF($A41="","",SUM(O41:Q41))</f>
        <v/>
      </c>
      <c r="X41" s="9" t="str">
        <f aca="false">IF($A41="","",SUM(R41:S41))</f>
        <v/>
      </c>
      <c r="Y41" s="10" t="str">
        <f aca="false">IF($A41="","",SUM(T41:X41))</f>
        <v/>
      </c>
      <c r="Z41" s="11" t="str">
        <f aca="false">IF($A41="","",IF(Y41&gt;=Key!$B$13,"A",IF(Y41&gt;=Key!$B$14,"B",IF(Y41&gt;=Key!$B$15,"C",IF(Y41&gt;=Key!$B$16,"D","F")))))</f>
        <v/>
      </c>
    </row>
    <row r="42" customFormat="false" ht="15" hidden="false" customHeight="false" outlineLevel="0" collapsed="false">
      <c r="A42" s="7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9" t="str">
        <f aca="false">IF($A42="","",SUM(C42:D42))</f>
        <v/>
      </c>
      <c r="U42" s="9" t="str">
        <f aca="false">IF($A42="","",SUM(E42:I42))</f>
        <v/>
      </c>
      <c r="V42" s="9" t="str">
        <f aca="false">IF($A42="","",SUM(J42:N42))</f>
        <v/>
      </c>
      <c r="W42" s="9" t="str">
        <f aca="false">IF($A42="","",SUM(O42:Q42))</f>
        <v/>
      </c>
      <c r="X42" s="9" t="str">
        <f aca="false">IF($A42="","",SUM(R42:S42))</f>
        <v/>
      </c>
      <c r="Y42" s="10" t="str">
        <f aca="false">IF($A42="","",SUM(T42:X42))</f>
        <v/>
      </c>
      <c r="Z42" s="11" t="str">
        <f aca="false">IF($A42="","",IF(Y42&gt;=Key!$B$13,"A",IF(Y42&gt;=Key!$B$14,"B",IF(Y42&gt;=Key!$B$15,"C",IF(Y42&gt;=Key!$B$16,"D","F")))))</f>
        <v/>
      </c>
    </row>
    <row r="43" customFormat="false" ht="15" hidden="false" customHeight="false" outlineLevel="0" collapsed="false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 t="str">
        <f aca="false">IF($A43="","",SUM(C43:D43))</f>
        <v/>
      </c>
      <c r="U43" s="9" t="str">
        <f aca="false">IF($A43="","",SUM(E43:I43))</f>
        <v/>
      </c>
      <c r="V43" s="9" t="str">
        <f aca="false">IF($A43="","",SUM(J43:N43))</f>
        <v/>
      </c>
      <c r="W43" s="9" t="str">
        <f aca="false">IF($A43="","",SUM(O43:Q43))</f>
        <v/>
      </c>
      <c r="X43" s="9" t="str">
        <f aca="false">IF($A43="","",SUM(R43:S43))</f>
        <v/>
      </c>
      <c r="Y43" s="10" t="str">
        <f aca="false">IF($A43="","",SUM(T43:X43))</f>
        <v/>
      </c>
      <c r="Z43" s="11" t="str">
        <f aca="false">IF($A43="","",IF(Y43&gt;=Key!$B$13,"A",IF(Y43&gt;=Key!$B$14,"B",IF(Y43&gt;=Key!$B$15,"C",IF(Y43&gt;=Key!$B$16,"D","F")))))</f>
        <v/>
      </c>
    </row>
    <row r="44" customFormat="false" ht="15" hidden="false" customHeight="false" outlineLevel="0" collapsed="false">
      <c r="A44" s="7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9" t="str">
        <f aca="false">IF($A44="","",SUM(C44:D44))</f>
        <v/>
      </c>
      <c r="U44" s="9" t="str">
        <f aca="false">IF($A44="","",SUM(E44:I44))</f>
        <v/>
      </c>
      <c r="V44" s="9" t="str">
        <f aca="false">IF($A44="","",SUM(J44:N44))</f>
        <v/>
      </c>
      <c r="W44" s="9" t="str">
        <f aca="false">IF($A44="","",SUM(O44:Q44))</f>
        <v/>
      </c>
      <c r="X44" s="9" t="str">
        <f aca="false">IF($A44="","",SUM(R44:S44))</f>
        <v/>
      </c>
      <c r="Y44" s="10" t="str">
        <f aca="false">IF($A44="","",SUM(T44:X44))</f>
        <v/>
      </c>
      <c r="Z44" s="11" t="str">
        <f aca="false">IF($A44="","",IF(Y44&gt;=Key!$B$13,"A",IF(Y44&gt;=Key!$B$14,"B",IF(Y44&gt;=Key!$B$15,"C",IF(Y44&gt;=Key!$B$16,"D","F")))))</f>
        <v/>
      </c>
    </row>
    <row r="45" customFormat="false" ht="15" hidden="false" customHeight="false" outlineLevel="0" collapsed="false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9" t="str">
        <f aca="false">IF($A45="","",SUM(C45:D45))</f>
        <v/>
      </c>
      <c r="U45" s="9" t="str">
        <f aca="false">IF($A45="","",SUM(E45:I45))</f>
        <v/>
      </c>
      <c r="V45" s="9" t="str">
        <f aca="false">IF($A45="","",SUM(J45:N45))</f>
        <v/>
      </c>
      <c r="W45" s="9" t="str">
        <f aca="false">IF($A45="","",SUM(O45:Q45))</f>
        <v/>
      </c>
      <c r="X45" s="9" t="str">
        <f aca="false">IF($A45="","",SUM(R45:S45))</f>
        <v/>
      </c>
      <c r="Y45" s="10" t="str">
        <f aca="false">IF($A45="","",SUM(T45:X45))</f>
        <v/>
      </c>
      <c r="Z45" s="11" t="str">
        <f aca="false">IF($A45="","",IF(Y45&gt;=Key!$B$13,"A",IF(Y45&gt;=Key!$B$14,"B",IF(Y45&gt;=Key!$B$15,"C",IF(Y45&gt;=Key!$B$16,"D","F")))))</f>
        <v/>
      </c>
    </row>
  </sheetData>
  <mergeCells count="6">
    <mergeCell ref="C3:D3"/>
    <mergeCell ref="E3:I3"/>
    <mergeCell ref="J3:N3"/>
    <mergeCell ref="O3:Q3"/>
    <mergeCell ref="R3:S3"/>
    <mergeCell ref="T3:Z3"/>
  </mergeCells>
  <conditionalFormatting sqref="Z6:Z45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  <cfRule type="cellIs" priority="5" operator="equal" aboveAverage="0" equalAverage="0" bottom="0" percent="0" rank="0" text="" dxfId="3">
      <formula>"D"</formula>
    </cfRule>
    <cfRule type="cellIs" priority="6" operator="equal" aboveAverage="0" equalAverage="0" bottom="0" percent="0" rank="0" text="" dxfId="4">
      <formula>"F"</formula>
    </cfRule>
  </conditionalFormatting>
  <dataValidations count="18">
    <dataValidation allowBlank="true" error="Enter a number from 0 up to the maximum shown in row 4." errorStyle="stop" errorTitle="Score out of range" operator="between" showDropDown="false" showErrorMessage="true" showInputMessage="false" sqref="C6:C45" type="decimal">
      <formula1>0</formula1>
      <formula2>C$4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D6:D45" type="decimal">
      <formula1>0</formula1>
      <formula2>D$4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E6:E45" type="decimal">
      <formula1>0</formula1>
      <formula2>E$4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F6:F45" type="decimal">
      <formula1>0</formula1>
      <formula2>F$4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G6:G45" type="decimal">
      <formula1>0</formula1>
      <formula2>G$4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H6:H45" type="decimal">
      <formula1>0</formula1>
      <formula2>H$4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I6:I45" type="decimal">
      <formula1>0</formula1>
      <formula2>I$4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J6:J45" type="decimal">
      <formula1>0</formula1>
      <formula2>J$4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K6:K45" type="decimal">
      <formula1>0</formula1>
      <formula2>K$4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L6:L45" type="decimal">
      <formula1>0</formula1>
      <formula2>L$4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M6:M45" type="decimal">
      <formula1>0</formula1>
      <formula2>M$4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N6:N45" type="decimal">
      <formula1>0</formula1>
      <formula2>N$4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O6:O45" type="decimal">
      <formula1>0</formula1>
      <formula2>O$4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P6:P45" type="decimal">
      <formula1>0</formula1>
      <formula2>P$4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Q6:Q45" type="decimal">
      <formula1>0</formula1>
      <formula2>Q$4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R6:R45" type="decimal">
      <formula1>0</formula1>
      <formula2>R$4</formula2>
    </dataValidation>
    <dataValidation allowBlank="true" error="Enter a number from 0 up to the maximum shown in row 4." errorStyle="stop" errorTitle="Score out of range" operator="between" showDropDown="false" showErrorMessage="true" showInputMessage="false" sqref="S6:S45" type="decimal">
      <formula1>0</formula1>
      <formula2>S$4</formula2>
    </dataValidation>
    <dataValidation allowBlank="true" errorStyle="stop" operator="between" showDropDown="false" showErrorMessage="false" showInputMessage="false" sqref="B6:B45" type="list">
      <formula1>"Design,Programming,Development / Management,Game Writing"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12" t="s">
        <v>33</v>
      </c>
      <c r="B4" s="12" t="n">
        <f aca="false">COUNT(Gradebook!Y6:Y45)</f>
        <v>1</v>
      </c>
    </row>
    <row r="5" customFormat="false" ht="15" hidden="false" customHeight="false" outlineLevel="0" collapsed="false">
      <c r="A5" s="12" t="s">
        <v>34</v>
      </c>
      <c r="B5" s="13" t="n">
        <f aca="false">IFERROR(AVERAGE(Gradebook!Y6:Y45),"")</f>
        <v>86</v>
      </c>
    </row>
    <row r="6" customFormat="false" ht="15" hidden="false" customHeight="false" outlineLevel="0" collapsed="false">
      <c r="A6" s="12"/>
      <c r="B6" s="12"/>
    </row>
    <row r="7" customFormat="false" ht="15" hidden="false" customHeight="false" outlineLevel="0" collapsed="false">
      <c r="A7" s="4" t="s">
        <v>35</v>
      </c>
      <c r="B7" s="12"/>
    </row>
    <row r="8" customFormat="false" ht="15" hidden="false" customHeight="false" outlineLevel="0" collapsed="false">
      <c r="A8" s="12" t="s">
        <v>36</v>
      </c>
      <c r="B8" s="12" t="n">
        <f aca="false">COUNTIF(Gradebook!Z6:Z45,A8)</f>
        <v>0</v>
      </c>
    </row>
    <row r="9" customFormat="false" ht="15" hidden="false" customHeight="false" outlineLevel="0" collapsed="false">
      <c r="A9" s="12" t="s">
        <v>37</v>
      </c>
      <c r="B9" s="12" t="n">
        <f aca="false">COUNTIF(Gradebook!Z6:Z45,A9)</f>
        <v>1</v>
      </c>
    </row>
    <row r="10" customFormat="false" ht="15" hidden="false" customHeight="false" outlineLevel="0" collapsed="false">
      <c r="A10" s="12" t="s">
        <v>38</v>
      </c>
      <c r="B10" s="12" t="n">
        <f aca="false">COUNTIF(Gradebook!Z6:Z45,A10)</f>
        <v>0</v>
      </c>
    </row>
    <row r="11" customFormat="false" ht="15" hidden="false" customHeight="false" outlineLevel="0" collapsed="false">
      <c r="A11" s="12" t="s">
        <v>39</v>
      </c>
      <c r="B11" s="12" t="n">
        <f aca="false">COUNTIF(Gradebook!Z6:Z45,A11)</f>
        <v>0</v>
      </c>
    </row>
    <row r="12" customFormat="false" ht="15" hidden="false" customHeight="false" outlineLevel="0" collapsed="false">
      <c r="A12" s="12" t="s">
        <v>40</v>
      </c>
      <c r="B12" s="12" t="n">
        <f aca="false">COUNTIF(Gradebook!Z6:Z45,A12)</f>
        <v>0</v>
      </c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4" t="s">
        <v>41</v>
      </c>
      <c r="B14" s="12"/>
    </row>
    <row r="15" customFormat="false" ht="15" hidden="false" customHeight="false" outlineLevel="0" collapsed="false">
      <c r="A15" s="12" t="s">
        <v>30</v>
      </c>
      <c r="B15" s="13" t="n">
        <f aca="false">IFERROR(AVERAGEIF(Gradebook!B6:B45,A15,Gradebook!Y6:Y45),"")</f>
        <v>86</v>
      </c>
    </row>
    <row r="16" customFormat="false" ht="15" hidden="false" customHeight="false" outlineLevel="0" collapsed="false">
      <c r="A16" s="12" t="s">
        <v>42</v>
      </c>
      <c r="B16" s="13" t="str">
        <f aca="false">IFERROR(AVERAGEIF(Gradebook!B6:B45,A16,Gradebook!Y6:Y45),"")</f>
        <v/>
      </c>
    </row>
    <row r="17" customFormat="false" ht="15" hidden="false" customHeight="false" outlineLevel="0" collapsed="false">
      <c r="A17" s="12" t="s">
        <v>43</v>
      </c>
      <c r="B17" s="13" t="str">
        <f aca="false">IFERROR(AVERAGEIF(Gradebook!B6:B45,A17,Gradebook!Y6:Y45),"")</f>
        <v/>
      </c>
    </row>
    <row r="18" customFormat="false" ht="15" hidden="false" customHeight="false" outlineLevel="0" collapsed="false">
      <c r="A18" s="12" t="s">
        <v>44</v>
      </c>
      <c r="B18" s="13" t="str">
        <f aca="false">IFERROR(AVERAGEIF(Gradebook!B6:B45,A18,Gradebook!Y6:Y45),"")</f>
        <v/>
      </c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4" t="s">
        <v>45</v>
      </c>
      <c r="B20" s="12"/>
    </row>
    <row r="21" customFormat="false" ht="15" hidden="false" customHeight="false" outlineLevel="0" collapsed="false">
      <c r="A21" s="12" t="s">
        <v>2</v>
      </c>
      <c r="B21" s="14" t="n">
        <f aca="false">IFERROR(AVERAGE(Gradebook!T6:T45)/Key!$B$5,"")</f>
        <v>0.9</v>
      </c>
    </row>
    <row r="22" customFormat="false" ht="15" hidden="false" customHeight="false" outlineLevel="0" collapsed="false">
      <c r="A22" s="12" t="s">
        <v>3</v>
      </c>
      <c r="B22" s="14" t="n">
        <f aca="false">IFERROR(AVERAGE(Gradebook!U6:U45)/Key!$B$6,"")</f>
        <v>0.9</v>
      </c>
    </row>
    <row r="23" customFormat="false" ht="15" hidden="false" customHeight="false" outlineLevel="0" collapsed="false">
      <c r="A23" s="12" t="s">
        <v>4</v>
      </c>
      <c r="B23" s="14" t="n">
        <f aca="false">IFERROR(AVERAGE(Gradebook!V6:V45)/Key!$B$7,"")</f>
        <v>0.833333333333333</v>
      </c>
    </row>
    <row r="24" customFormat="false" ht="15" hidden="false" customHeight="false" outlineLevel="0" collapsed="false">
      <c r="A24" s="12" t="s">
        <v>5</v>
      </c>
      <c r="B24" s="14" t="n">
        <f aca="false">IFERROR(AVERAGE(Gradebook!W6:W45)/Key!$B$8,"")</f>
        <v>0.833333333333333</v>
      </c>
    </row>
    <row r="25" customFormat="false" ht="15" hidden="false" customHeight="false" outlineLevel="0" collapsed="false">
      <c r="A25" s="12" t="s">
        <v>6</v>
      </c>
      <c r="B25" s="14" t="n">
        <f aca="false">IFERROR(AVERAGE(Gradebook!X6:X45)/Key!$B$9,"")</f>
        <v>0.9</v>
      </c>
    </row>
    <row r="26" customFormat="false" ht="15" hidden="false" customHeight="false" outlineLevel="0" collapsed="false">
      <c r="A26" s="12"/>
      <c r="B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15" t="s">
        <v>48</v>
      </c>
      <c r="B4" s="15" t="s">
        <v>49</v>
      </c>
      <c r="D4" s="4" t="s">
        <v>50</v>
      </c>
      <c r="E4" s="16" t="n">
        <v>16</v>
      </c>
    </row>
    <row r="5" customFormat="false" ht="15" hidden="false" customHeight="false" outlineLevel="0" collapsed="false">
      <c r="A5" s="17" t="n">
        <v>0</v>
      </c>
      <c r="B5" s="17" t="n">
        <f aca="false">ROUND(A5*$E$5/$E$4*2,0)/2</f>
        <v>0</v>
      </c>
      <c r="D5" s="4" t="s">
        <v>51</v>
      </c>
      <c r="E5" s="18" t="n">
        <f aca="false">Key!B23</f>
        <v>6</v>
      </c>
    </row>
    <row r="6" customFormat="false" ht="15" hidden="false" customHeight="false" outlineLevel="0" collapsed="false">
      <c r="A6" s="17" t="n">
        <v>1</v>
      </c>
      <c r="B6" s="17" t="n">
        <f aca="false">ROUND(A6*$E$5/$E$4*2,0)/2</f>
        <v>0.5</v>
      </c>
    </row>
    <row r="7" customFormat="false" ht="15" hidden="false" customHeight="false" outlineLevel="0" collapsed="false">
      <c r="A7" s="17" t="n">
        <v>2</v>
      </c>
      <c r="B7" s="17" t="n">
        <f aca="false">ROUND(A7*$E$5/$E$4*2,0)/2</f>
        <v>1</v>
      </c>
    </row>
    <row r="8" customFormat="false" ht="15" hidden="false" customHeight="false" outlineLevel="0" collapsed="false">
      <c r="A8" s="17" t="n">
        <v>3</v>
      </c>
      <c r="B8" s="17" t="n">
        <f aca="false">ROUND(A8*$E$5/$E$4*2,0)/2</f>
        <v>1</v>
      </c>
    </row>
    <row r="9" customFormat="false" ht="15" hidden="false" customHeight="false" outlineLevel="0" collapsed="false">
      <c r="A9" s="17" t="n">
        <v>4</v>
      </c>
      <c r="B9" s="17" t="n">
        <f aca="false">ROUND(A9*$E$5/$E$4*2,0)/2</f>
        <v>1.5</v>
      </c>
    </row>
    <row r="10" customFormat="false" ht="15" hidden="false" customHeight="false" outlineLevel="0" collapsed="false">
      <c r="A10" s="17" t="n">
        <v>5</v>
      </c>
      <c r="B10" s="17" t="n">
        <f aca="false">ROUND(A10*$E$5/$E$4*2,0)/2</f>
        <v>2</v>
      </c>
    </row>
    <row r="11" customFormat="false" ht="15" hidden="false" customHeight="false" outlineLevel="0" collapsed="false">
      <c r="A11" s="17" t="n">
        <v>6</v>
      </c>
      <c r="B11" s="17" t="n">
        <f aca="false">ROUND(A11*$E$5/$E$4*2,0)/2</f>
        <v>2.5</v>
      </c>
    </row>
    <row r="12" customFormat="false" ht="15" hidden="false" customHeight="false" outlineLevel="0" collapsed="false">
      <c r="A12" s="17" t="n">
        <v>7</v>
      </c>
      <c r="B12" s="17" t="n">
        <f aca="false">ROUND(A12*$E$5/$E$4*2,0)/2</f>
        <v>2.5</v>
      </c>
    </row>
    <row r="13" customFormat="false" ht="15" hidden="false" customHeight="false" outlineLevel="0" collapsed="false">
      <c r="A13" s="17" t="n">
        <v>8</v>
      </c>
      <c r="B13" s="17" t="n">
        <f aca="false">ROUND(A13*$E$5/$E$4*2,0)/2</f>
        <v>3</v>
      </c>
    </row>
    <row r="14" customFormat="false" ht="15" hidden="false" customHeight="false" outlineLevel="0" collapsed="false">
      <c r="A14" s="17" t="n">
        <v>9</v>
      </c>
      <c r="B14" s="17" t="n">
        <f aca="false">ROUND(A14*$E$5/$E$4*2,0)/2</f>
        <v>3.5</v>
      </c>
    </row>
    <row r="15" customFormat="false" ht="15" hidden="false" customHeight="false" outlineLevel="0" collapsed="false">
      <c r="A15" s="17" t="n">
        <v>10</v>
      </c>
      <c r="B15" s="17" t="n">
        <f aca="false">ROUND(A15*$E$5/$E$4*2,0)/2</f>
        <v>4</v>
      </c>
    </row>
    <row r="16" customFormat="false" ht="15" hidden="false" customHeight="false" outlineLevel="0" collapsed="false">
      <c r="A16" s="17" t="n">
        <v>11</v>
      </c>
      <c r="B16" s="17" t="n">
        <f aca="false">ROUND(A16*$E$5/$E$4*2,0)/2</f>
        <v>4</v>
      </c>
    </row>
    <row r="17" customFormat="false" ht="15" hidden="false" customHeight="false" outlineLevel="0" collapsed="false">
      <c r="A17" s="17" t="n">
        <v>12</v>
      </c>
      <c r="B17" s="17" t="n">
        <f aca="false">ROUND(A17*$E$5/$E$4*2,0)/2</f>
        <v>4.5</v>
      </c>
    </row>
    <row r="18" customFormat="false" ht="15" hidden="false" customHeight="false" outlineLevel="0" collapsed="false">
      <c r="A18" s="17" t="n">
        <v>13</v>
      </c>
      <c r="B18" s="17" t="n">
        <f aca="false">ROUND(A18*$E$5/$E$4*2,0)/2</f>
        <v>5</v>
      </c>
    </row>
    <row r="19" customFormat="false" ht="15" hidden="false" customHeight="false" outlineLevel="0" collapsed="false">
      <c r="A19" s="17" t="n">
        <v>14</v>
      </c>
      <c r="B19" s="17" t="n">
        <f aca="false">ROUND(A19*$E$5/$E$4*2,0)/2</f>
        <v>5.5</v>
      </c>
    </row>
    <row r="20" customFormat="false" ht="15" hidden="false" customHeight="false" outlineLevel="0" collapsed="false">
      <c r="A20" s="17" t="n">
        <v>15</v>
      </c>
      <c r="B20" s="17" t="n">
        <f aca="false">ROUND(A20*$E$5/$E$4*2,0)/2</f>
        <v>5.5</v>
      </c>
    </row>
    <row r="21" customFormat="false" ht="15" hidden="false" customHeight="false" outlineLevel="0" collapsed="false">
      <c r="A21" s="17" t="n">
        <v>16</v>
      </c>
      <c r="B21" s="17" t="n">
        <f aca="false">ROUND(A21*$E$5/$E$4*2,0)/2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4" t="s">
        <v>54</v>
      </c>
      <c r="B4" s="4" t="s">
        <v>55</v>
      </c>
    </row>
    <row r="5" customFormat="false" ht="15" hidden="false" customHeight="false" outlineLevel="0" collapsed="false">
      <c r="A5" s="12" t="s">
        <v>2</v>
      </c>
      <c r="B5" s="16" t="n">
        <v>10</v>
      </c>
    </row>
    <row r="6" customFormat="false" ht="15" hidden="false" customHeight="false" outlineLevel="0" collapsed="false">
      <c r="A6" s="12" t="s">
        <v>3</v>
      </c>
      <c r="B6" s="16" t="n">
        <v>20</v>
      </c>
    </row>
    <row r="7" customFormat="false" ht="15" hidden="false" customHeight="false" outlineLevel="0" collapsed="false">
      <c r="A7" s="12" t="s">
        <v>4</v>
      </c>
      <c r="B7" s="16" t="n">
        <v>30</v>
      </c>
    </row>
    <row r="8" customFormat="false" ht="15" hidden="false" customHeight="false" outlineLevel="0" collapsed="false">
      <c r="A8" s="12" t="s">
        <v>5</v>
      </c>
      <c r="B8" s="16" t="n">
        <v>30</v>
      </c>
    </row>
    <row r="9" customFormat="false" ht="15" hidden="false" customHeight="false" outlineLevel="0" collapsed="false">
      <c r="A9" s="12" t="s">
        <v>6</v>
      </c>
      <c r="B9" s="16" t="n">
        <v>10</v>
      </c>
    </row>
    <row r="10" customFormat="false" ht="15" hidden="false" customHeight="false" outlineLevel="0" collapsed="false">
      <c r="A10" s="4" t="s">
        <v>27</v>
      </c>
      <c r="B10" s="4" t="n">
        <f aca="false">SUM(B5:B9)</f>
        <v>100</v>
      </c>
    </row>
    <row r="11" customFormat="false" ht="15" hidden="false" customHeight="false" outlineLevel="0" collapsed="false">
      <c r="A11" s="12"/>
      <c r="B11" s="12"/>
    </row>
    <row r="12" customFormat="false" ht="15" hidden="false" customHeight="false" outlineLevel="0" collapsed="false">
      <c r="A12" s="4" t="s">
        <v>56</v>
      </c>
      <c r="B12" s="4"/>
    </row>
    <row r="13" customFormat="false" ht="15" hidden="false" customHeight="false" outlineLevel="0" collapsed="false">
      <c r="A13" s="12" t="s">
        <v>36</v>
      </c>
      <c r="B13" s="16" t="n">
        <v>90</v>
      </c>
    </row>
    <row r="14" customFormat="false" ht="15" hidden="false" customHeight="false" outlineLevel="0" collapsed="false">
      <c r="A14" s="12" t="s">
        <v>37</v>
      </c>
      <c r="B14" s="16" t="n">
        <v>80</v>
      </c>
    </row>
    <row r="15" customFormat="false" ht="15" hidden="false" customHeight="false" outlineLevel="0" collapsed="false">
      <c r="A15" s="12" t="s">
        <v>38</v>
      </c>
      <c r="B15" s="16" t="n">
        <v>70</v>
      </c>
    </row>
    <row r="16" customFormat="false" ht="15" hidden="false" customHeight="false" outlineLevel="0" collapsed="false">
      <c r="A16" s="12" t="s">
        <v>39</v>
      </c>
      <c r="B16" s="16" t="n">
        <v>60</v>
      </c>
    </row>
    <row r="17" customFormat="false" ht="15" hidden="false" customHeight="false" outlineLevel="0" collapsed="false">
      <c r="A17" s="12" t="s">
        <v>57</v>
      </c>
      <c r="B17" s="12"/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4" t="s">
        <v>58</v>
      </c>
      <c r="B19" s="4"/>
    </row>
    <row r="20" customFormat="false" ht="15" hidden="false" customHeight="false" outlineLevel="0" collapsed="false">
      <c r="A20" s="12" t="s">
        <v>59</v>
      </c>
      <c r="B20" s="16" t="n">
        <v>6</v>
      </c>
    </row>
    <row r="21" customFormat="false" ht="15" hidden="false" customHeight="false" outlineLevel="0" collapsed="false">
      <c r="A21" s="12" t="s">
        <v>60</v>
      </c>
      <c r="B21" s="16" t="n">
        <v>4</v>
      </c>
    </row>
    <row r="22" customFormat="false" ht="15" hidden="false" customHeight="false" outlineLevel="0" collapsed="false">
      <c r="A22" s="12" t="s">
        <v>61</v>
      </c>
      <c r="B22" s="16" t="n">
        <v>4</v>
      </c>
    </row>
    <row r="23" customFormat="false" ht="15" hidden="false" customHeight="false" outlineLevel="0" collapsed="false">
      <c r="A23" s="12" t="s">
        <v>62</v>
      </c>
      <c r="B23" s="16" t="n">
        <v>6</v>
      </c>
    </row>
    <row r="24" customFormat="false" ht="15" hidden="false" customHeight="false" outlineLevel="0" collapsed="false">
      <c r="A24" s="12" t="s">
        <v>18</v>
      </c>
      <c r="B24" s="16" t="n">
        <v>12</v>
      </c>
    </row>
    <row r="25" customFormat="false" ht="15" hidden="false" customHeight="false" outlineLevel="0" collapsed="false">
      <c r="A25" s="12" t="s">
        <v>63</v>
      </c>
      <c r="B25" s="16" t="n">
        <v>12</v>
      </c>
    </row>
    <row r="26" customFormat="false" ht="15" hidden="false" customHeight="false" outlineLevel="0" collapsed="false">
      <c r="A26" s="12" t="s">
        <v>20</v>
      </c>
      <c r="B26" s="16" t="n">
        <v>6</v>
      </c>
    </row>
    <row r="27" customFormat="false" ht="15" hidden="false" customHeight="false" outlineLevel="0" collapsed="false">
      <c r="A27" s="12" t="s">
        <v>64</v>
      </c>
      <c r="B27" s="16" t="n">
        <v>5</v>
      </c>
    </row>
    <row r="28" customFormat="false" ht="15" hidden="false" customHeight="false" outlineLevel="0" collapsed="false">
      <c r="A28" s="12" t="s">
        <v>65</v>
      </c>
      <c r="B28" s="16" t="n">
        <v>5</v>
      </c>
    </row>
    <row r="30" customFormat="false" ht="15" hidden="false" customHeight="false" outlineLevel="0" collapsed="false">
      <c r="A30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2026-10-26T14:59:56Z</dcterms:created>
  <dc:creator>openpyxl</dc:creator>
  <dc:description/>
  <dc:language>en-US</dc:language>
  <cp:lastModifiedBy/>
  <dcterms:modified xsi:type="dcterms:W3CDTF">2026-10-26T14:59:56Z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